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zation schedul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<sst xmlns="http://schemas.openxmlformats.org/spreadsheetml/2006/main" count="16" uniqueCount="16">
  <si>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Modelo de cronograma de amortização</t>
  </si>
  <si>
    <t xml:space="preserve">Informações sobre empréstimo</t>
  </si>
  <si>
    <t>Sumário</t>
  </si>
  <si>
    <t xml:space="preserve">Valor do empréstimo</t>
  </si>
  <si>
    <t xml:space="preserve">Pagamento programado</t>
  </si>
  <si>
    <t xml:space="preserve">Taxa de juros anual</t>
  </si>
  <si>
    <t xml:space="preserve">Valor programado dos pagamentos</t>
  </si>
  <si>
    <t xml:space="preserve">Período do empréstimo em meses</t>
  </si>
  <si>
    <t xml:space="preserve">Total de juros</t>
  </si>
  <si>
    <t xml:space="preserve">Data do primeiro pagamento</t>
  </si>
  <si>
    <t xml:space="preserve">Pagamento total</t>
  </si>
  <si>
    <t>№</t>
  </si>
  <si>
    <t xml:space="preserve">Data de vencimento</t>
  </si>
  <si>
    <t xml:space="preserve">Balanço inicial</t>
  </si>
  <si>
    <t>Pagamento</t>
  </si>
  <si>
    <t xml:space="preserve">Balanço final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</si>
</sst>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_-[$R$-416]\ * #,##0.00_-;\-[$R$-416]\ * #,##0.00_-;_-[$R$-416]\ * &quot;-&quot;??_-;_-@_-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0" borderId="1" numFmtId="0" xfId="0" applyFont="1" applyBorder="1" applyAlignment="1">
      <alignment wrapText="1"/>
    </xf>
    <xf fontId="1" fillId="0" borderId="1" numFmtId="1" xfId="0" applyNumberFormat="1" applyFont="1" applyBorder="1" applyAlignment="1">
      <alignment wrapText="1"/>
    </xf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25"/>
  <cols>
    <col customWidth="1" min="1" max="1" style="1" width="34.421875"/>
    <col customWidth="1" min="2" max="2" style="2" width="24.5742187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33">
      <c r="A5" s="9" t="s">
        <v>5</v>
      </c>
      <c r="B5" s="12">
        <v>0.050000000000000003</v>
      </c>
      <c r="C5" s="4"/>
      <c r="D5" s="13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33" customHeight="1">
      <c r="A6" s="14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5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9" t="s">
        <v>9</v>
      </c>
      <c r="B7" s="16">
        <v>45292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17">
        <v>1</v>
      </c>
      <c r="B10" s="18">
        <v>45292</v>
      </c>
      <c r="C10" s="19">
        <f>E7</f>
        <v>105000</v>
      </c>
      <c r="D10" s="19">
        <f>E4</f>
        <v>8525.2264021710325</v>
      </c>
      <c r="E10" s="19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20">
        <v>2</v>
      </c>
      <c r="B11" s="21">
        <v>45323</v>
      </c>
      <c r="C11" s="22">
        <f t="shared" ref="C11:C21" si="1">E10</f>
        <v>96474.773597828971</v>
      </c>
      <c r="D11" s="22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17">
        <v>3</v>
      </c>
      <c r="B12" s="18">
        <v>45352</v>
      </c>
      <c r="C12" s="19">
        <f t="shared" si="1"/>
        <v>87949.547195657942</v>
      </c>
      <c r="D12" s="19">
        <f>E4</f>
        <v>8525.2264021710325</v>
      </c>
      <c r="E12" s="19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20">
        <v>4</v>
      </c>
      <c r="B13" s="21">
        <v>45383</v>
      </c>
      <c r="C13" s="22">
        <f t="shared" si="1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17">
        <v>5</v>
      </c>
      <c r="B14" s="18">
        <v>45413</v>
      </c>
      <c r="C14" s="19">
        <f t="shared" si="1"/>
        <v>70899.094391315884</v>
      </c>
      <c r="D14" s="19">
        <f>E4</f>
        <v>8525.2264021710325</v>
      </c>
      <c r="E14" s="19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20">
        <v>6</v>
      </c>
      <c r="B15" s="21">
        <v>45444</v>
      </c>
      <c r="C15" s="22">
        <f t="shared" si="1"/>
        <v>62373.867989144856</v>
      </c>
      <c r="D15" s="22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17">
        <v>7</v>
      </c>
      <c r="B16" s="18">
        <v>45474</v>
      </c>
      <c r="C16" s="19">
        <f t="shared" si="1"/>
        <v>53848.641586973827</v>
      </c>
      <c r="D16" s="19">
        <f>E4</f>
        <v>8525.2264021710325</v>
      </c>
      <c r="E16" s="19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20">
        <v>8</v>
      </c>
      <c r="B17" s="21">
        <v>45505</v>
      </c>
      <c r="C17" s="22">
        <f t="shared" si="1"/>
        <v>45323.415184802798</v>
      </c>
      <c r="D17" s="22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17">
        <v>9</v>
      </c>
      <c r="B18" s="18">
        <v>45536</v>
      </c>
      <c r="C18" s="19">
        <f t="shared" si="1"/>
        <v>36798.188782631769</v>
      </c>
      <c r="D18" s="19">
        <f>E4</f>
        <v>8525.2264021710325</v>
      </c>
      <c r="E18" s="19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20">
        <v>10</v>
      </c>
      <c r="B19" s="21">
        <v>45566</v>
      </c>
      <c r="C19" s="22">
        <f t="shared" si="1"/>
        <v>28272.962380460736</v>
      </c>
      <c r="D19" s="22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17">
        <v>11</v>
      </c>
      <c r="B20" s="18">
        <v>45597</v>
      </c>
      <c r="C20" s="19">
        <f t="shared" si="1"/>
        <v>19747.735978289704</v>
      </c>
      <c r="D20" s="19">
        <f>E4</f>
        <v>8525.2264021710325</v>
      </c>
      <c r="E20" s="19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20">
        <v>12</v>
      </c>
      <c r="B21" s="21">
        <v>45627</v>
      </c>
      <c r="C21" s="22">
        <f t="shared" si="1"/>
        <v>11222.509576118671</v>
      </c>
      <c r="D21" s="22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23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23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Klaibson Natal Ribeiro Borges</cp:lastModifiedBy>
  <cp:revision>5</cp:revision>
  <dcterms:modified xsi:type="dcterms:W3CDTF">2024-10-01T18:13:24Z</dcterms:modified>
  <dc:creator/>
  <dc:lastModifiedBy/>
</cp:coreProperties>
</file>