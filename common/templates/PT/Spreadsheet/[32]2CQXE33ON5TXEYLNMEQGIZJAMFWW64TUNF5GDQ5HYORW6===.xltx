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Amortization schedule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<sst xmlns="http://schemas.openxmlformats.org/spreadsheetml/2006/main" count="16" uniqueCount="16">
  <si>
    <t xml:space="preserve">Modelo de cronograma de amortização</t>
  </si>
  <si>
    <t xml:space="preserve">Informações sobre empréstimo</t>
  </si>
  <si>
    <t>Sumário</t>
  </si>
  <si>
    <t xml:space="preserve">Valor do empréstimo</t>
  </si>
  <si>
    <t xml:space="preserve">Pagamento programado</t>
  </si>
  <si>
    <t xml:space="preserve">Taxa de juros anual</t>
  </si>
  <si>
    <t xml:space="preserve">Valor programado dos pagamentos</t>
  </si>
  <si>
    <t xml:space="preserve">Período do empréstimo em meses</t>
  </si>
  <si>
    <t xml:space="preserve">Total de juros</t>
  </si>
  <si>
    <t xml:space="preserve">Data do primeiro pagamento</t>
  </si>
  <si>
    <t xml:space="preserve">Pagamento total</t>
  </si>
  <si>
    <t>№</t>
  </si>
  <si>
    <t xml:space="preserve">Data de vencimento</t>
  </si>
  <si>
    <t xml:space="preserve">Balanço inicial</t>
  </si>
  <si>
    <t>Pagamento</t>
  </si>
  <si>
    <t xml:space="preserve">Balanço final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</si>
</sst>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_-[$R$-416]\ * #,##0.00_-;\-[$R$-416]\ * #,##0.00_-;_-[$R$-416]\ * &quot;-&quot;??_-;_-@_-"/>
    <numFmt numFmtId="165" formatCode="dd/mm/yyyy;@"/>
    <numFmt numFmtId="166" formatCode="dd/mm/yyyy"/>
  </numFmts>
  <fonts count="4">
    <font>
      <sz val="11.000000"/>
      <color theme="1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0"/>
        <bgColor theme="0" tint="0"/>
      </patternFill>
    </fill>
  </fills>
  <borders count="2">
    <border>
      <left style="none"/>
      <right style="none"/>
      <top style="none"/>
      <bottom style="none"/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24">
    <xf fontId="0" fillId="0" borderId="0" numFmtId="0" xfId="0"/>
    <xf fontId="1" fillId="0" borderId="0" numFmtId="1" xfId="0" applyNumberFormat="1" applyFont="1"/>
    <xf fontId="1" fillId="0" borderId="0" numFmtId="0" xfId="0" applyFont="1"/>
    <xf fontId="2" fillId="2" borderId="0" numFmtId="1" xfId="0" applyNumberFormat="1" applyFont="1" applyFill="1" applyAlignment="1">
      <alignment horizontal="center" vertical="center"/>
    </xf>
    <xf fontId="1" fillId="3" borderId="0" numFmtId="0" xfId="0" applyFont="1" applyFill="1"/>
    <xf fontId="0" fillId="3" borderId="0" numFmtId="0" xfId="0" applyFill="1"/>
    <xf fontId="1" fillId="3" borderId="0" numFmtId="1" xfId="0" applyNumberFormat="1" applyFont="1" applyFill="1"/>
    <xf fontId="3" fillId="2" borderId="1" numFmtId="1" xfId="0" applyNumberFormat="1" applyFont="1" applyFill="1" applyBorder="1" applyAlignment="1">
      <alignment horizontal="center"/>
    </xf>
    <xf fontId="3" fillId="2" borderId="1" numFmtId="0" xfId="0" applyFont="1" applyFill="1" applyBorder="1" applyAlignment="1">
      <alignment horizontal="center"/>
    </xf>
    <xf fontId="1" fillId="0" borderId="1" numFmtId="1" xfId="0" applyNumberFormat="1" applyFont="1" applyBorder="1"/>
    <xf fontId="1" fillId="0" borderId="1" numFmtId="164" xfId="0" applyNumberFormat="1" applyFont="1" applyBorder="1"/>
    <xf fontId="1" fillId="0" borderId="1" numFmtId="0" xfId="0" applyFont="1" applyBorder="1"/>
    <xf fontId="1" fillId="0" borderId="1" numFmtId="9" xfId="0" applyNumberFormat="1" applyFont="1" applyBorder="1"/>
    <xf fontId="1" fillId="0" borderId="1" numFmtId="0" xfId="0" applyFont="1" applyBorder="1" applyAlignment="1">
      <alignment wrapText="1"/>
    </xf>
    <xf fontId="1" fillId="0" borderId="1" numFmtId="1" xfId="0" applyNumberFormat="1" applyFont="1" applyBorder="1" applyAlignment="1">
      <alignment wrapText="1"/>
    </xf>
    <xf fontId="1" fillId="3" borderId="0" numFmtId="8" xfId="0" applyNumberFormat="1" applyFont="1" applyFill="1"/>
    <xf fontId="1" fillId="0" borderId="1" numFmtId="165" xfId="0" applyNumberFormat="1" applyFont="1" applyBorder="1"/>
    <xf fontId="1" fillId="0" borderId="1" numFmtId="1" xfId="0" applyNumberFormat="1" applyFont="1" applyBorder="1" applyAlignment="1">
      <alignment horizontal="center"/>
    </xf>
    <xf fontId="1" fillId="0" borderId="1" numFmtId="166" xfId="0" applyNumberFormat="1" applyFont="1" applyBorder="1" applyAlignment="1">
      <alignment horizontal="center"/>
    </xf>
    <xf fontId="1" fillId="0" borderId="1" numFmtId="164" xfId="0" applyNumberFormat="1" applyFont="1" applyBorder="1" applyAlignment="1">
      <alignment horizontal="center"/>
    </xf>
    <xf fontId="1" fillId="2" borderId="1" numFmtId="1" xfId="0" applyNumberFormat="1" applyFont="1" applyFill="1" applyBorder="1" applyAlignment="1">
      <alignment horizontal="center"/>
    </xf>
    <xf fontId="1" fillId="2" borderId="1" numFmtId="166" xfId="0" applyNumberFormat="1" applyFont="1" applyFill="1" applyBorder="1" applyAlignment="1">
      <alignment horizontal="center"/>
    </xf>
    <xf fontId="1" fillId="2" borderId="1" numFmtId="164" xfId="0" applyNumberFormat="1" applyFont="1" applyFill="1" applyBorder="1" applyAlignment="1">
      <alignment horizontal="center"/>
    </xf>
    <xf fontId="1" fillId="3" borderId="0" numFmtId="1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:E1"/>
    </sheetView>
  </sheetViews>
  <sheetFormatPr defaultRowHeight="14.25"/>
  <cols>
    <col customWidth="1" min="1" max="1" style="1" width="34.421875"/>
    <col customWidth="1" min="2" max="2" style="2" width="24.57421875"/>
    <col customWidth="1" min="3" max="5" style="2" width="28.00390625"/>
    <col min="6" max="7" style="2" width="9.140625"/>
    <col bestFit="1"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5">
      <c r="A2" s="6"/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5">
      <c r="A3" s="7" t="s">
        <v>1</v>
      </c>
      <c r="B3" s="7"/>
      <c r="C3" s="4"/>
      <c r="D3" s="8" t="s">
        <v>2</v>
      </c>
      <c r="E3" s="8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5">
      <c r="A4" s="9" t="s">
        <v>3</v>
      </c>
      <c r="B4" s="10">
        <v>100000</v>
      </c>
      <c r="C4" s="4"/>
      <c r="D4" s="11" t="s">
        <v>4</v>
      </c>
      <c r="E4" s="10">
        <f>-PMT(B5/12,B6,B4,0,1)</f>
        <v>8525.2264021710325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33">
      <c r="A5" s="9" t="s">
        <v>5</v>
      </c>
      <c r="B5" s="12">
        <v>0.050000000000000003</v>
      </c>
      <c r="C5" s="4"/>
      <c r="D5" s="13" t="s">
        <v>6</v>
      </c>
      <c r="E5" s="11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33" customHeight="1">
      <c r="A6" s="14" t="s">
        <v>7</v>
      </c>
      <c r="B6" s="9">
        <v>12</v>
      </c>
      <c r="C6" s="4"/>
      <c r="D6" s="11" t="s">
        <v>8</v>
      </c>
      <c r="E6" s="10">
        <f>-IPMT(B5,1,B6,B4)</f>
        <v>5000</v>
      </c>
      <c r="F6" s="4"/>
      <c r="G6" s="4"/>
      <c r="H6" s="15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5">
      <c r="A7" s="9" t="s">
        <v>9</v>
      </c>
      <c r="B7" s="16">
        <v>45292</v>
      </c>
      <c r="C7" s="4"/>
      <c r="D7" s="11" t="s">
        <v>10</v>
      </c>
      <c r="E7" s="10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5">
      <c r="A8" s="6"/>
      <c r="B8" s="4"/>
      <c r="C8" s="4"/>
      <c r="D8" s="4"/>
      <c r="E8" s="4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5">
      <c r="A9" s="7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5">
      <c r="A10" s="17">
        <v>1</v>
      </c>
      <c r="B10" s="18">
        <v>45292</v>
      </c>
      <c r="C10" s="19">
        <f>E7</f>
        <v>105000</v>
      </c>
      <c r="D10" s="19">
        <f>E4</f>
        <v>8525.2264021710325</v>
      </c>
      <c r="E10" s="19">
        <f t="shared" ref="E10:E21" si="0">C10-D10</f>
        <v>96474.773597828971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5">
      <c r="A11" s="20">
        <v>2</v>
      </c>
      <c r="B11" s="21">
        <v>45323</v>
      </c>
      <c r="C11" s="22">
        <f t="shared" ref="C11:C21" si="1">E10</f>
        <v>96474.773597828971</v>
      </c>
      <c r="D11" s="22">
        <f>E4</f>
        <v>8525.2264021710325</v>
      </c>
      <c r="E11" s="22">
        <f t="shared" si="0"/>
        <v>87949.547195657942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5">
      <c r="A12" s="17">
        <v>3</v>
      </c>
      <c r="B12" s="18">
        <v>45352</v>
      </c>
      <c r="C12" s="19">
        <f t="shared" si="1"/>
        <v>87949.547195657942</v>
      </c>
      <c r="D12" s="19">
        <f>E4</f>
        <v>8525.2264021710325</v>
      </c>
      <c r="E12" s="19">
        <f t="shared" si="0"/>
        <v>79424.320793486913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5">
      <c r="A13" s="20">
        <v>4</v>
      </c>
      <c r="B13" s="21">
        <v>45383</v>
      </c>
      <c r="C13" s="22">
        <f t="shared" si="1"/>
        <v>79424.320793486913</v>
      </c>
      <c r="D13" s="22">
        <f>E4</f>
        <v>8525.2264021710325</v>
      </c>
      <c r="E13" s="22">
        <f t="shared" si="0"/>
        <v>70899.094391315884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5">
      <c r="A14" s="17">
        <v>5</v>
      </c>
      <c r="B14" s="18">
        <v>45413</v>
      </c>
      <c r="C14" s="19">
        <f t="shared" si="1"/>
        <v>70899.094391315884</v>
      </c>
      <c r="D14" s="19">
        <f>E4</f>
        <v>8525.2264021710325</v>
      </c>
      <c r="E14" s="19">
        <f t="shared" si="0"/>
        <v>62373.867989144856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5">
      <c r="A15" s="20">
        <v>6</v>
      </c>
      <c r="B15" s="21">
        <v>45444</v>
      </c>
      <c r="C15" s="22">
        <f t="shared" si="1"/>
        <v>62373.867989144856</v>
      </c>
      <c r="D15" s="22">
        <f>E4</f>
        <v>8525.2264021710325</v>
      </c>
      <c r="E15" s="22">
        <f t="shared" si="0"/>
        <v>53848.641586973827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5">
      <c r="A16" s="17">
        <v>7</v>
      </c>
      <c r="B16" s="18">
        <v>45474</v>
      </c>
      <c r="C16" s="19">
        <f t="shared" si="1"/>
        <v>53848.641586973827</v>
      </c>
      <c r="D16" s="19">
        <f>E4</f>
        <v>8525.2264021710325</v>
      </c>
      <c r="E16" s="19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5">
      <c r="A17" s="20">
        <v>8</v>
      </c>
      <c r="B17" s="21">
        <v>45505</v>
      </c>
      <c r="C17" s="22">
        <f t="shared" si="1"/>
        <v>45323.415184802798</v>
      </c>
      <c r="D17" s="22">
        <f>E4</f>
        <v>8525.2264021710325</v>
      </c>
      <c r="E17" s="22">
        <f t="shared" si="0"/>
        <v>36798.188782631769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5">
      <c r="A18" s="17">
        <v>9</v>
      </c>
      <c r="B18" s="18">
        <v>45536</v>
      </c>
      <c r="C18" s="19">
        <f t="shared" si="1"/>
        <v>36798.188782631769</v>
      </c>
      <c r="D18" s="19">
        <f>E4</f>
        <v>8525.2264021710325</v>
      </c>
      <c r="E18" s="19">
        <f t="shared" si="0"/>
        <v>28272.962380460736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5">
      <c r="A19" s="20">
        <v>10</v>
      </c>
      <c r="B19" s="21">
        <v>45566</v>
      </c>
      <c r="C19" s="22">
        <f t="shared" si="1"/>
        <v>28272.962380460736</v>
      </c>
      <c r="D19" s="22">
        <f>E4</f>
        <v>8525.2264021710325</v>
      </c>
      <c r="E19" s="22">
        <f t="shared" si="0"/>
        <v>19747.735978289704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5">
      <c r="A20" s="17">
        <v>11</v>
      </c>
      <c r="B20" s="18">
        <v>45597</v>
      </c>
      <c r="C20" s="19">
        <f t="shared" si="1"/>
        <v>19747.735978289704</v>
      </c>
      <c r="D20" s="19">
        <f>E4</f>
        <v>8525.2264021710325</v>
      </c>
      <c r="E20" s="19">
        <f t="shared" si="0"/>
        <v>11222.509576118671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5">
      <c r="A21" s="20">
        <v>12</v>
      </c>
      <c r="B21" s="21">
        <v>45627</v>
      </c>
      <c r="C21" s="22">
        <f t="shared" si="1"/>
        <v>11222.509576118671</v>
      </c>
      <c r="D21" s="22">
        <f>E4</f>
        <v>8525.2264021710325</v>
      </c>
      <c r="E21" s="22">
        <f t="shared" si="0"/>
        <v>2697.2831739476387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5">
      <c r="A22" s="23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5">
      <c r="A23" s="23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5">
      <c r="A24" s="6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5">
      <c r="A25" s="6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5">
      <c r="A26" s="6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5">
      <c r="A27" s="6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5">
      <c r="A28" s="6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5">
      <c r="A29" s="6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5">
      <c r="A30" s="6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5">
      <c r="A31" s="6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5">
      <c r="A32" s="6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5">
      <c r="A33" s="6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5">
      <c r="A34" s="6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5">
      <c r="A35" s="6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5">
      <c r="A36" s="6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5">
      <c r="A37" s="6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5">
      <c r="A38" s="6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5">
      <c r="A39" s="6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5">
      <c r="A40" s="6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5">
      <c r="A41" s="6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5">
      <c r="A42" s="6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5">
      <c r="A43" s="6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5">
      <c r="A44" s="6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5">
      <c r="A45" s="6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5">
      <c r="A46" s="6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5">
      <c r="A47" s="6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5">
      <c r="A48" s="6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5">
      <c r="A49" s="6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5">
      <c r="A50" s="6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5">
      <c r="A51" s="6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5">
      <c r="A52" s="6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5">
      <c r="A53" s="6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5">
      <c r="A54" s="6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5">
      <c r="A55" s="6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5">
      <c r="A56" s="6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5">
      <c r="A57" s="6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5">
      <c r="A58" s="6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5">
      <c r="A59" s="6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5">
      <c r="A60" s="6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5">
      <c r="A61" s="6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5">
      <c r="A62" s="6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5">
      <c r="A63" s="6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5">
      <c r="A64" s="6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 ht="14.25">
      <c r="A65" s="6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 ht="14.25">
      <c r="A66" s="6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 ht="14.25">
      <c r="A67" s="6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 ht="14.25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 ht="14.25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 ht="14.25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 ht="14.25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 ht="14.25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 ht="14.25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 ht="14.25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 ht="14.2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 ht="14.25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 ht="14.25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 ht="14.25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 ht="14.25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 ht="14.25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 ht="14.25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 ht="14.25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 ht="14.25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 ht="14.25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 ht="14.2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 ht="14.25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 ht="14.25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 ht="14.25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 ht="14.25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 ht="14.25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 ht="14.25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 ht="14.25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Klaibson Natal Ribeiro Borges</cp:lastModifiedBy>
  <cp:revision>5</cp:revision>
  <dcterms:modified xsi:type="dcterms:W3CDTF">2024-10-01T18:13:24Z</dcterms:modified>
</cp:coreProperties>
</file>