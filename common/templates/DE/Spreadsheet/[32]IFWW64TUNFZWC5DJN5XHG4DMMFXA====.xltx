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sationsplan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<sst xmlns="http://schemas.openxmlformats.org/spreadsheetml/2006/main" count="16" uniqueCount="16">
  <si>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Vorlage für Amortisationsplan</t>
  </si>
  <si>
    <t xml:space="preserve">Informationen zum Darlehen</t>
  </si>
  <si>
    <t>Zusammenfassung</t>
  </si>
  <si>
    <t>Darlehensbetrag</t>
  </si>
  <si>
    <t xml:space="preserve">Geplante Zahlung</t>
  </si>
  <si>
    <t xml:space="preserve">Jährlicher Zinssatz</t>
  </si>
  <si>
    <t xml:space="preserve">Vorgesehener Betrag der Zahlungen</t>
  </si>
  <si>
    <t xml:space="preserve">Darlehenslaufzeit in Monaten</t>
  </si>
  <si>
    <t xml:space="preserve">Zinsen insgesamt</t>
  </si>
  <si>
    <t xml:space="preserve">Erstes Zahlungsdatum</t>
  </si>
  <si>
    <t xml:space="preserve">Zahlung insgesamt</t>
  </si>
  <si>
    <t>Nr.</t>
  </si>
  <si>
    <t>Fälligkeitsdatum</t>
  </si>
  <si>
    <t>Anfangsguthaben</t>
  </si>
  <si>
    <t>Zahlung</t>
  </si>
  <si>
    <t>Endsaldo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</si>
</sst>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none"/>
      <top style="thin">
        <color theme="6" tint="0.59999389629810485"/>
      </top>
      <bottom style="thin">
        <color theme="6" tint="0.59999389629810485"/>
      </bottom>
      <diagonal style="none"/>
    </border>
    <border>
      <left style="none"/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33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4" borderId="0" numFmtId="1" xfId="0" applyNumberFormat="1" applyFont="1" applyFill="1"/>
    <xf fontId="1" fillId="4" borderId="0" numFmtId="0" xfId="0" applyFont="1" applyFill="1"/>
    <xf fontId="3" fillId="2" borderId="1" numFmtId="1" xfId="0" applyNumberFormat="1" applyFont="1" applyFill="1" applyBorder="1" applyAlignment="1">
      <alignment horizontal="center"/>
    </xf>
    <xf fontId="3" fillId="2" borderId="2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3" fillId="2" borderId="2" numFmtId="0" xfId="0" applyFont="1" applyFill="1" applyBorder="1" applyAlignment="1">
      <alignment horizontal="center"/>
    </xf>
    <xf fontId="1" fillId="0" borderId="3" numFmtId="1" xfId="0" applyNumberFormat="1" applyFont="1" applyBorder="1"/>
    <xf fontId="1" fillId="0" borderId="3" numFmtId="164" xfId="0" applyNumberFormat="1" applyFont="1" applyBorder="1"/>
    <xf fontId="1" fillId="0" borderId="3" numFmtId="0" xfId="0" applyFont="1" applyBorder="1"/>
    <xf fontId="1" fillId="0" borderId="3" numFmtId="165" xfId="0" applyNumberFormat="1" applyFont="1" applyBorder="1"/>
    <xf fontId="1" fillId="0" borderId="3" numFmtId="9" xfId="0" applyNumberFormat="1" applyFont="1" applyBorder="1"/>
    <xf fontId="1" fillId="0" borderId="3" numFmtId="0" xfId="0" applyFont="1" applyBorder="1" applyAlignment="1">
      <alignment wrapText="1"/>
    </xf>
    <xf fontId="1" fillId="0" borderId="3" numFmtId="1" xfId="0" applyNumberFormat="1" applyFont="1" applyBorder="1" applyAlignment="1">
      <alignment wrapText="1"/>
    </xf>
    <xf fontId="1" fillId="3" borderId="0" numFmtId="8" xfId="0" applyNumberFormat="1" applyFont="1" applyFill="1"/>
    <xf fontId="1" fillId="0" borderId="3" numFmtId="166" xfId="0" applyNumberFormat="1" applyFont="1" applyBorder="1"/>
    <xf fontId="3" fillId="2" borderId="3" numFmtId="1" xfId="0" applyNumberFormat="1" applyFont="1" applyFill="1" applyBorder="1" applyAlignment="1">
      <alignment horizontal="center"/>
    </xf>
    <xf fontId="3" fillId="2" borderId="3" numFmtId="0" xfId="0" applyFont="1" applyFill="1" applyBorder="1" applyAlignment="1">
      <alignment horizontal="center"/>
    </xf>
    <xf fontId="1" fillId="0" borderId="3" numFmtId="1" xfId="0" applyNumberFormat="1" applyFont="1" applyBorder="1" applyAlignment="1">
      <alignment horizontal="center"/>
    </xf>
    <xf fontId="1" fillId="0" borderId="3" numFmtId="167" xfId="0" applyNumberFormat="1" applyFont="1" applyBorder="1" applyAlignment="1">
      <alignment horizontal="center"/>
    </xf>
    <xf fontId="1" fillId="0" borderId="3" numFmtId="164" xfId="0" applyNumberFormat="1" applyFont="1" applyBorder="1" applyAlignment="1">
      <alignment horizontal="center"/>
    </xf>
    <xf fontId="1" fillId="0" borderId="3" numFmtId="165" xfId="0" applyNumberFormat="1" applyFont="1" applyBorder="1" applyAlignment="1">
      <alignment horizontal="center"/>
    </xf>
    <xf fontId="1" fillId="2" borderId="3" numFmtId="1" xfId="0" applyNumberFormat="1" applyFont="1" applyFill="1" applyBorder="1" applyAlignment="1">
      <alignment horizontal="center"/>
    </xf>
    <xf fontId="1" fillId="2" borderId="3" numFmtId="167" xfId="0" applyNumberFormat="1" applyFont="1" applyFill="1" applyBorder="1" applyAlignment="1">
      <alignment horizontal="center"/>
    </xf>
    <xf fontId="1" fillId="2" borderId="3" numFmtId="164" xfId="0" applyNumberFormat="1" applyFont="1" applyFill="1" applyBorder="1" applyAlignment="1">
      <alignment horizontal="center"/>
    </xf>
    <xf fontId="1" fillId="2" borderId="3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  <xf fontId="1" fillId="3" borderId="0" numFmtId="1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25"/>
  <cols>
    <col customWidth="1" min="1" max="1" style="1" width="23.7109375"/>
    <col customWidth="1" min="2" max="2" style="2" width="19.57421875"/>
    <col customWidth="1" min="3" max="3" style="2" width="25.7109375"/>
    <col customWidth="1" min="4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7"/>
      <c r="C2" s="7"/>
      <c r="D2" s="7"/>
      <c r="E2" s="7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8" t="s">
        <v>1</v>
      </c>
      <c r="B3" s="9"/>
      <c r="C3" s="7"/>
      <c r="D3" s="10" t="s">
        <v>2</v>
      </c>
      <c r="E3" s="11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12" t="s">
        <v>3</v>
      </c>
      <c r="B4" s="13">
        <v>100000</v>
      </c>
      <c r="C4" s="7"/>
      <c r="D4" s="14" t="s">
        <v>4</v>
      </c>
      <c r="E4" s="15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33">
      <c r="A5" s="12" t="s">
        <v>5</v>
      </c>
      <c r="B5" s="16">
        <v>0.050000000000000003</v>
      </c>
      <c r="C5" s="7"/>
      <c r="D5" s="17" t="s">
        <v>6</v>
      </c>
      <c r="E5" s="14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33">
      <c r="A6" s="18" t="s">
        <v>7</v>
      </c>
      <c r="B6" s="12">
        <v>12</v>
      </c>
      <c r="C6" s="7"/>
      <c r="D6" s="14" t="s">
        <v>8</v>
      </c>
      <c r="E6" s="13">
        <f>-IPMT(B5,1,B6,B4)</f>
        <v>5000</v>
      </c>
      <c r="F6" s="4"/>
      <c r="G6" s="4"/>
      <c r="H6" s="19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12" t="s">
        <v>9</v>
      </c>
      <c r="B7" s="20">
        <f ca="1">TODAY()</f>
        <v>45561</v>
      </c>
      <c r="C7" s="7"/>
      <c r="D7" s="14" t="s">
        <v>10</v>
      </c>
      <c r="E7" s="13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7"/>
      <c r="C8" s="7"/>
      <c r="D8" s="7"/>
      <c r="E8" s="7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21" t="s">
        <v>11</v>
      </c>
      <c r="B9" s="22" t="s">
        <v>12</v>
      </c>
      <c r="C9" s="22" t="s">
        <v>13</v>
      </c>
      <c r="D9" s="22" t="s">
        <v>14</v>
      </c>
      <c r="E9" s="22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23">
        <v>1</v>
      </c>
      <c r="B10" s="24">
        <f ca="1">TODAY()</f>
        <v>45561</v>
      </c>
      <c r="C10" s="25">
        <f>E7</f>
        <v>105000</v>
      </c>
      <c r="D10" s="26">
        <f>E4</f>
        <v>8525.2264021710325</v>
      </c>
      <c r="E10" s="25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7">
        <v>2</v>
      </c>
      <c r="B11" s="28">
        <f t="shared" ref="B11:B21" si="1">WORKDAY(B10,21)</f>
        <v>45590</v>
      </c>
      <c r="C11" s="29">
        <f t="shared" ref="C11:C21" si="2">E10</f>
        <v>96474.773597828971</v>
      </c>
      <c r="D11" s="30">
        <f>E4</f>
        <v>8525.2264021710325</v>
      </c>
      <c r="E11" s="29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23">
        <v>3</v>
      </c>
      <c r="B12" s="24">
        <f t="shared" si="1"/>
        <v>45621</v>
      </c>
      <c r="C12" s="25">
        <f t="shared" si="2"/>
        <v>87949.547195657942</v>
      </c>
      <c r="D12" s="26">
        <f>E4</f>
        <v>8525.2264021710325</v>
      </c>
      <c r="E12" s="25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7">
        <v>4</v>
      </c>
      <c r="B13" s="28">
        <f t="shared" si="1"/>
        <v>45650</v>
      </c>
      <c r="C13" s="29">
        <f t="shared" si="2"/>
        <v>79424.320793486913</v>
      </c>
      <c r="D13" s="29">
        <f>E4</f>
        <v>8525.2264021710325</v>
      </c>
      <c r="E13" s="29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23">
        <v>5</v>
      </c>
      <c r="B14" s="24">
        <f t="shared" si="1"/>
        <v>45679</v>
      </c>
      <c r="C14" s="25">
        <f t="shared" si="2"/>
        <v>70899.094391315884</v>
      </c>
      <c r="D14" s="26">
        <f>E4</f>
        <v>8525.2264021710325</v>
      </c>
      <c r="E14" s="25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7">
        <v>6</v>
      </c>
      <c r="B15" s="28">
        <f t="shared" si="1"/>
        <v>45708</v>
      </c>
      <c r="C15" s="29">
        <f t="shared" si="2"/>
        <v>62373.867989144856</v>
      </c>
      <c r="D15" s="30">
        <f>E4</f>
        <v>8525.2264021710325</v>
      </c>
      <c r="E15" s="29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23">
        <v>7</v>
      </c>
      <c r="B16" s="24">
        <f t="shared" si="1"/>
        <v>45737</v>
      </c>
      <c r="C16" s="25">
        <f t="shared" si="2"/>
        <v>53848.641586973827</v>
      </c>
      <c r="D16" s="26">
        <f>E4</f>
        <v>8525.2264021710325</v>
      </c>
      <c r="E16" s="25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7">
        <v>8</v>
      </c>
      <c r="B17" s="28">
        <f t="shared" si="1"/>
        <v>45768</v>
      </c>
      <c r="C17" s="29">
        <f t="shared" si="2"/>
        <v>45323.415184802798</v>
      </c>
      <c r="D17" s="30">
        <f>E4</f>
        <v>8525.2264021710325</v>
      </c>
      <c r="E17" s="29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23">
        <v>9</v>
      </c>
      <c r="B18" s="24">
        <f t="shared" si="1"/>
        <v>45797</v>
      </c>
      <c r="C18" s="25">
        <f t="shared" si="2"/>
        <v>36798.188782631769</v>
      </c>
      <c r="D18" s="26">
        <f>E4</f>
        <v>8525.2264021710325</v>
      </c>
      <c r="E18" s="25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7">
        <v>10</v>
      </c>
      <c r="B19" s="28">
        <f t="shared" si="1"/>
        <v>45826</v>
      </c>
      <c r="C19" s="29">
        <f t="shared" si="2"/>
        <v>28272.962380460736</v>
      </c>
      <c r="D19" s="30">
        <f>E4</f>
        <v>8525.2264021710325</v>
      </c>
      <c r="E19" s="29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23">
        <v>11</v>
      </c>
      <c r="B20" s="24">
        <f t="shared" si="1"/>
        <v>45855</v>
      </c>
      <c r="C20" s="25">
        <f t="shared" si="2"/>
        <v>19747.735978289704</v>
      </c>
      <c r="D20" s="26">
        <f>E4</f>
        <v>8525.2264021710325</v>
      </c>
      <c r="E20" s="25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7">
        <v>12</v>
      </c>
      <c r="B21" s="28">
        <f t="shared" si="1"/>
        <v>45884</v>
      </c>
      <c r="C21" s="29">
        <f t="shared" si="2"/>
        <v>11222.509576118671</v>
      </c>
      <c r="D21" s="30">
        <f>E4</f>
        <v>8525.2264021710325</v>
      </c>
      <c r="E21" s="29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3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3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32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32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32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32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32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32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32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32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32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32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32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32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32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32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32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32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32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32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32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32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32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32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32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32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32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32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32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32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32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32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32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32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32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32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32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32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32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32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32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32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32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32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32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32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6</cp:revision>
  <dcterms:modified xsi:type="dcterms:W3CDTF">2024-09-26T10:06:12Z</dcterms:modified>
  <dc:creator/>
  <dc:lastModifiedBy/>
</cp:coreProperties>
</file>