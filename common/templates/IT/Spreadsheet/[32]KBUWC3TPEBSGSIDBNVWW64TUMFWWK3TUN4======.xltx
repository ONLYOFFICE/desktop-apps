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zation schedule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<sst xmlns="http://schemas.openxmlformats.org/spreadsheetml/2006/main" count="16" uniqueCount="16">
  <si>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Modello di piano di ammortamento</t>
  </si>
  <si>
    <t xml:space="preserve">Informazioni sul prestito</t>
  </si>
  <si>
    <t>Riepilogo</t>
  </si>
  <si>
    <t xml:space="preserve">Ammontare del prestito</t>
  </si>
  <si>
    <t xml:space="preserve">Pagamento programmato</t>
  </si>
  <si>
    <t xml:space="preserve">Tasso d'interesse annuale</t>
  </si>
  <si>
    <t xml:space="preserve">Numero pagamenti</t>
  </si>
  <si>
    <t xml:space="preserve">Periodo del prestito in mesi</t>
  </si>
  <si>
    <t xml:space="preserve">Interessi totali</t>
  </si>
  <si>
    <t xml:space="preserve">Data del primo pagamento</t>
  </si>
  <si>
    <t xml:space="preserve">Totale pagamento</t>
  </si>
  <si>
    <t>№</t>
  </si>
  <si>
    <t xml:space="preserve">Data di scadenza</t>
  </si>
  <si>
    <t xml:space="preserve">Saldo iniziale</t>
  </si>
  <si>
    <t>Pagamento</t>
  </si>
  <si>
    <t xml:space="preserve">Saldo finale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</si>
</sst>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#,##0.00\ [$€-410]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2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27.7109375"/>
    <col customWidth="1" min="2" max="2" style="2" width="19.0039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2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9</v>
      </c>
      <c r="B7" s="14">
        <f ca="1">TODAY()</f>
        <v>45559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5">
        <v>1</v>
      </c>
      <c r="B10" s="16">
        <f ca="1">TODAY()</f>
        <v>45559</v>
      </c>
      <c r="C10" s="17">
        <f>E7</f>
        <v>105000</v>
      </c>
      <c r="D10" s="17">
        <f>E4</f>
        <v>8525.2264021710325</v>
      </c>
      <c r="E10" s="17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18">
        <v>2</v>
      </c>
      <c r="B11" s="19">
        <f t="shared" ref="B11:B21" si="1">WORKDAY(B10,+21)</f>
        <v>45588</v>
      </c>
      <c r="C11" s="20">
        <f t="shared" ref="C11:C21" si="2">E10</f>
        <v>96474.773597828971</v>
      </c>
      <c r="D11" s="20">
        <f>E4</f>
        <v>8525.2264021710325</v>
      </c>
      <c r="E11" s="20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5">
        <v>3</v>
      </c>
      <c r="B12" s="16">
        <f t="shared" si="1"/>
        <v>45617</v>
      </c>
      <c r="C12" s="17">
        <f t="shared" si="2"/>
        <v>87949.547195657942</v>
      </c>
      <c r="D12" s="17">
        <f>E4</f>
        <v>8525.2264021710325</v>
      </c>
      <c r="E12" s="17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18">
        <v>4</v>
      </c>
      <c r="B13" s="19">
        <f t="shared" si="1"/>
        <v>45646</v>
      </c>
      <c r="C13" s="20">
        <f t="shared" si="2"/>
        <v>79424.320793486913</v>
      </c>
      <c r="D13" s="20">
        <f>E4</f>
        <v>8525.2264021710325</v>
      </c>
      <c r="E13" s="20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5">
        <v>5</v>
      </c>
      <c r="B14" s="16">
        <f t="shared" si="1"/>
        <v>45677</v>
      </c>
      <c r="C14" s="17">
        <f t="shared" si="2"/>
        <v>70899.094391315884</v>
      </c>
      <c r="D14" s="17">
        <f>E4</f>
        <v>8525.2264021710325</v>
      </c>
      <c r="E14" s="17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18">
        <v>6</v>
      </c>
      <c r="B15" s="19">
        <f t="shared" si="1"/>
        <v>45706</v>
      </c>
      <c r="C15" s="20">
        <f t="shared" si="2"/>
        <v>62373.867989144856</v>
      </c>
      <c r="D15" s="20">
        <f>E4</f>
        <v>8525.2264021710325</v>
      </c>
      <c r="E15" s="20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5">
        <v>7</v>
      </c>
      <c r="B16" s="16">
        <f t="shared" si="1"/>
        <v>45735</v>
      </c>
      <c r="C16" s="17">
        <f t="shared" si="2"/>
        <v>53848.641586973827</v>
      </c>
      <c r="D16" s="17">
        <f>E4</f>
        <v>8525.2264021710325</v>
      </c>
      <c r="E16" s="17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18">
        <v>8</v>
      </c>
      <c r="B17" s="19">
        <f t="shared" si="1"/>
        <v>45764</v>
      </c>
      <c r="C17" s="20">
        <f t="shared" si="2"/>
        <v>45323.415184802798</v>
      </c>
      <c r="D17" s="20">
        <f>E4</f>
        <v>8525.2264021710325</v>
      </c>
      <c r="E17" s="20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5">
        <v>9</v>
      </c>
      <c r="B18" s="16">
        <f t="shared" si="1"/>
        <v>45793</v>
      </c>
      <c r="C18" s="17">
        <f t="shared" si="2"/>
        <v>36798.188782631769</v>
      </c>
      <c r="D18" s="17">
        <f>E4</f>
        <v>8525.2264021710325</v>
      </c>
      <c r="E18" s="17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18">
        <v>10</v>
      </c>
      <c r="B19" s="19">
        <f t="shared" si="1"/>
        <v>45824</v>
      </c>
      <c r="C19" s="20">
        <f t="shared" si="2"/>
        <v>28272.962380460736</v>
      </c>
      <c r="D19" s="20">
        <f>E4</f>
        <v>8525.2264021710325</v>
      </c>
      <c r="E19" s="20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5">
        <v>11</v>
      </c>
      <c r="B20" s="16">
        <f t="shared" si="1"/>
        <v>45853</v>
      </c>
      <c r="C20" s="17">
        <f t="shared" si="2"/>
        <v>19747.735978289704</v>
      </c>
      <c r="D20" s="17">
        <f>E4</f>
        <v>8525.2264021710325</v>
      </c>
      <c r="E20" s="17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18">
        <v>12</v>
      </c>
      <c r="B21" s="19">
        <f t="shared" si="1"/>
        <v>45882</v>
      </c>
      <c r="C21" s="20">
        <f t="shared" si="2"/>
        <v>11222.509576118671</v>
      </c>
      <c r="D21" s="20">
        <f>E4</f>
        <v>8525.2264021710325</v>
      </c>
      <c r="E21" s="20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1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1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2024-09-24T12:46:00Z</dcterms:modified>
</cp:coreProperties>
</file>