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Tableau d'amortissement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<sst xmlns="http://schemas.openxmlformats.org/spreadsheetml/2006/main" count="16" uniqueCount="16">
  <si>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 xml:space="preserve">Modèle de tableau d'amortissement</t>
  </si>
  <si>
    <t xml:space="preserve">Informations sur le prêt</t>
  </si>
  <si>
    <t>Total</t>
  </si>
  <si>
    <t xml:space="preserve">Montant du prêt</t>
  </si>
  <si>
    <t>Remboursement</t>
  </si>
  <si>
    <t xml:space="preserve">Taux d'intérêt annuel</t>
  </si>
  <si>
    <t xml:space="preserve">Nombre prévu</t>
  </si>
  <si>
    <t xml:space="preserve">Durée en mois</t>
  </si>
  <si>
    <t xml:space="preserve">Total des intérêts</t>
  </si>
  <si>
    <t xml:space="preserve">Date début du prêt</t>
  </si>
  <si>
    <t xml:space="preserve">Remboursement total</t>
  </si>
  <si>
    <t>№</t>
  </si>
  <si>
    <t xml:space="preserve">Date d'échéance</t>
  </si>
  <si>
    <t xml:space="preserve">Solde de départ</t>
  </si>
  <si>
    <t>Mensualité</t>
  </si>
  <si>
    <t xml:space="preserve">Solde restant dû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</si>
</sst>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#,##0.00\ [$€-40C]"/>
    <numFmt numFmtId="165" formatCode="dd/mm/yyyy;@"/>
    <numFmt numFmtId="166" formatCode="dd/mm/yyyy"/>
  </numFmts>
  <fonts count="5">
    <font>
      <sz val="11.000000"/>
      <color theme="1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  <font>
      <b/>
      <sz val="10.000000"/>
      <color theme="1"/>
      <name val="Open Sans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0"/>
        <bgColor theme="0" tint="0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24">
    <xf fontId="0" fillId="0" borderId="0" numFmtId="0" xfId="0"/>
    <xf fontId="1" fillId="0" borderId="0" numFmtId="1" xfId="0" applyNumberFormat="1" applyFont="1"/>
    <xf fontId="1" fillId="0" borderId="0" numFmtId="0" xfId="0" applyFont="1"/>
    <xf fontId="2" fillId="2" borderId="0" numFmtId="1" xfId="0" applyNumberFormat="1" applyFont="1" applyFill="1" applyAlignment="1">
      <alignment horizontal="center" vertical="center"/>
    </xf>
    <xf fontId="1" fillId="3" borderId="0" numFmtId="0" xfId="0" applyFont="1" applyFill="1"/>
    <xf fontId="0" fillId="3" borderId="0" numFmtId="0" xfId="0" applyFill="1"/>
    <xf fontId="1" fillId="3" borderId="0" numFmtId="1" xfId="0" applyNumberFormat="1" applyFont="1" applyFill="1"/>
    <xf fontId="3" fillId="2" borderId="1" numFmtId="1" xfId="0" applyNumberFormat="1" applyFont="1" applyFill="1" applyBorder="1" applyAlignment="1">
      <alignment horizontal="center"/>
    </xf>
    <xf fontId="3" fillId="2" borderId="1" numFmtId="0" xfId="0" applyFont="1" applyFill="1" applyBorder="1" applyAlignment="1">
      <alignment horizontal="center"/>
    </xf>
    <xf fontId="1" fillId="0" borderId="1" numFmtId="1" xfId="0" applyNumberFormat="1" applyFont="1" applyBorder="1"/>
    <xf fontId="1" fillId="0" borderId="1" numFmtId="164" xfId="0" applyNumberFormat="1" applyFont="1" applyBorder="1"/>
    <xf fontId="1" fillId="0" borderId="1" numFmtId="0" xfId="0" applyFont="1" applyBorder="1"/>
    <xf fontId="1" fillId="0" borderId="1" numFmtId="9" xfId="0" applyNumberFormat="1" applyFont="1" applyBorder="1"/>
    <xf fontId="1" fillId="3" borderId="0" numFmtId="8" xfId="0" applyNumberFormat="1" applyFont="1" applyFill="1"/>
    <xf fontId="1" fillId="0" borderId="1" numFmtId="1" xfId="0" applyNumberFormat="1" applyFont="1" applyBorder="1" applyAlignment="1">
      <alignment wrapText="1"/>
    </xf>
    <xf fontId="1" fillId="0" borderId="1" numFmtId="165" xfId="0" applyNumberFormat="1" applyFont="1" applyBorder="1"/>
    <xf fontId="4" fillId="2" borderId="1" numFmtId="0" xfId="0" applyFont="1" applyFill="1" applyBorder="1" applyAlignment="1">
      <alignment horizontal="center"/>
    </xf>
    <xf fontId="1" fillId="0" borderId="1" numFmtId="1" xfId="0" applyNumberFormat="1" applyFont="1" applyBorder="1" applyAlignment="1">
      <alignment horizontal="center"/>
    </xf>
    <xf fontId="1" fillId="0" borderId="1" numFmtId="166" xfId="0" applyNumberFormat="1" applyFont="1" applyBorder="1" applyAlignment="1">
      <alignment horizontal="center"/>
    </xf>
    <xf fontId="1" fillId="0" borderId="1" numFmtId="164" xfId="0" applyNumberFormat="1" applyFont="1" applyBorder="1" applyAlignment="1">
      <alignment horizontal="center"/>
    </xf>
    <xf fontId="1" fillId="2" borderId="1" numFmtId="1" xfId="0" applyNumberFormat="1" applyFont="1" applyFill="1" applyBorder="1" applyAlignment="1">
      <alignment horizontal="center"/>
    </xf>
    <xf fontId="1" fillId="2" borderId="1" numFmtId="166" xfId="0" applyNumberFormat="1" applyFont="1" applyFill="1" applyBorder="1" applyAlignment="1">
      <alignment horizontal="center"/>
    </xf>
    <xf fontId="1" fillId="2" borderId="1" numFmtId="164" xfId="0" applyNumberFormat="1" applyFont="1" applyFill="1" applyBorder="1" applyAlignment="1">
      <alignment horizontal="center"/>
    </xf>
    <xf fontId="1" fillId="3" borderId="0" numFmtId="1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RowHeight="14.4"/>
  <cols>
    <col customWidth="1" min="1" max="1" style="1" width="23.7109375"/>
    <col customWidth="1" min="2" max="2" style="2" width="17.140625"/>
    <col customWidth="1" min="3" max="5" style="2" width="28.00390625"/>
    <col min="6" max="7" style="2" width="9.140625"/>
    <col bestFit="1"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0">
        <f>-PMT(B5/12,B6,B4,0,1)</f>
        <v>8525.2264021710325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2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3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14" t="s">
        <v>9</v>
      </c>
      <c r="B7" s="15">
        <f ca="1">TODAY()</f>
        <v>45559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16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7">
        <v>1</v>
      </c>
      <c r="B10" s="18">
        <f ca="1">TODAY()</f>
        <v>45559</v>
      </c>
      <c r="C10" s="19">
        <f>E7</f>
        <v>105000</v>
      </c>
      <c r="D10" s="19">
        <f>E4</f>
        <v>8525.2264021710325</v>
      </c>
      <c r="E10" s="19">
        <f t="shared" ref="E10:E21" si="0">C10-D10</f>
        <v>96474.773597828971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20">
        <v>2</v>
      </c>
      <c r="B11" s="21">
        <f t="shared" ref="B11:B21" si="1">WORKDAY(B10,+21)</f>
        <v>45588</v>
      </c>
      <c r="C11" s="22">
        <f t="shared" ref="C11:C21" si="2">E10</f>
        <v>96474.773597828971</v>
      </c>
      <c r="D11" s="22">
        <f>E4</f>
        <v>8525.2264021710325</v>
      </c>
      <c r="E11" s="22">
        <f t="shared" si="0"/>
        <v>87949.547195657942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7">
        <v>3</v>
      </c>
      <c r="B12" s="18">
        <f t="shared" si="1"/>
        <v>45617</v>
      </c>
      <c r="C12" s="19">
        <f t="shared" si="2"/>
        <v>87949.547195657942</v>
      </c>
      <c r="D12" s="19">
        <f>E4</f>
        <v>8525.2264021710325</v>
      </c>
      <c r="E12" s="19">
        <f t="shared" si="0"/>
        <v>79424.320793486913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20">
        <v>4</v>
      </c>
      <c r="B13" s="21">
        <f t="shared" si="1"/>
        <v>45646</v>
      </c>
      <c r="C13" s="22">
        <f t="shared" si="2"/>
        <v>79424.320793486913</v>
      </c>
      <c r="D13" s="22">
        <f>E4</f>
        <v>8525.2264021710325</v>
      </c>
      <c r="E13" s="22">
        <f t="shared" si="0"/>
        <v>70899.094391315884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7">
        <v>5</v>
      </c>
      <c r="B14" s="18">
        <f t="shared" si="1"/>
        <v>45677</v>
      </c>
      <c r="C14" s="19">
        <f t="shared" si="2"/>
        <v>70899.094391315884</v>
      </c>
      <c r="D14" s="19">
        <f>E4</f>
        <v>8525.2264021710325</v>
      </c>
      <c r="E14" s="19">
        <f t="shared" si="0"/>
        <v>62373.867989144856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20">
        <v>6</v>
      </c>
      <c r="B15" s="21">
        <f t="shared" si="1"/>
        <v>45706</v>
      </c>
      <c r="C15" s="22">
        <f t="shared" si="2"/>
        <v>62373.867989144856</v>
      </c>
      <c r="D15" s="22">
        <f>E4</f>
        <v>8525.2264021710325</v>
      </c>
      <c r="E15" s="22">
        <f t="shared" si="0"/>
        <v>53848.641586973827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7">
        <v>7</v>
      </c>
      <c r="B16" s="18">
        <f t="shared" si="1"/>
        <v>45735</v>
      </c>
      <c r="C16" s="19">
        <f t="shared" si="2"/>
        <v>53848.641586973827</v>
      </c>
      <c r="D16" s="19">
        <f>E4</f>
        <v>8525.2264021710325</v>
      </c>
      <c r="E16" s="19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20">
        <v>8</v>
      </c>
      <c r="B17" s="21">
        <f t="shared" si="1"/>
        <v>45764</v>
      </c>
      <c r="C17" s="22">
        <f t="shared" si="2"/>
        <v>45323.415184802798</v>
      </c>
      <c r="D17" s="22">
        <f>E4</f>
        <v>8525.2264021710325</v>
      </c>
      <c r="E17" s="22">
        <f t="shared" si="0"/>
        <v>36798.188782631769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7">
        <v>9</v>
      </c>
      <c r="B18" s="18">
        <f t="shared" si="1"/>
        <v>45793</v>
      </c>
      <c r="C18" s="19">
        <f t="shared" si="2"/>
        <v>36798.188782631769</v>
      </c>
      <c r="D18" s="19">
        <f>E4</f>
        <v>8525.2264021710325</v>
      </c>
      <c r="E18" s="19">
        <f t="shared" si="0"/>
        <v>28272.962380460736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20">
        <v>10</v>
      </c>
      <c r="B19" s="21">
        <f t="shared" si="1"/>
        <v>45824</v>
      </c>
      <c r="C19" s="22">
        <f t="shared" si="2"/>
        <v>28272.962380460736</v>
      </c>
      <c r="D19" s="22">
        <f>E4</f>
        <v>8525.2264021710325</v>
      </c>
      <c r="E19" s="22">
        <f t="shared" si="0"/>
        <v>19747.735978289704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7">
        <v>11</v>
      </c>
      <c r="B20" s="18">
        <f t="shared" si="1"/>
        <v>45853</v>
      </c>
      <c r="C20" s="19">
        <f t="shared" si="2"/>
        <v>19747.735978289704</v>
      </c>
      <c r="D20" s="19">
        <f>E4</f>
        <v>8525.2264021710325</v>
      </c>
      <c r="E20" s="19">
        <f t="shared" si="0"/>
        <v>11222.509576118671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20">
        <v>12</v>
      </c>
      <c r="B21" s="21">
        <f t="shared" si="1"/>
        <v>45882</v>
      </c>
      <c r="C21" s="22">
        <f t="shared" si="2"/>
        <v>11222.509576118671</v>
      </c>
      <c r="D21" s="22">
        <f>E4</f>
        <v>8525.2264021710325</v>
      </c>
      <c r="E21" s="22">
        <f t="shared" si="0"/>
        <v>2697.2831739476387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3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3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 ht="14.2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 ht="14.25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 ht="14.25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 ht="14.25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 ht="14.25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 ht="14.25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 ht="14.25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 ht="14.25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 ht="14.25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 ht="14.25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 ht="14.2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 ht="14.25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 ht="14.25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 ht="14.25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 ht="14.25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 ht="14.25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 ht="14.25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 ht="14.25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 ht="14.25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 ht="14.25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 ht="14.2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 ht="14.25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 ht="14.25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 ht="14.25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 ht="14.25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 ht="14.25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 ht="14.25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 ht="14.25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7</cp:revision>
  <dcterms:modified xsi:type="dcterms:W3CDTF">2024-09-24T12:12:29Z</dcterms:modified>
</cp:coreProperties>
</file>