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lan de amortización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<sst xmlns="http://schemas.openxmlformats.org/spreadsheetml/2006/main" count="16" uniqueCount="16">
  <si>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Plantilla de plan de amortización</t>
  </si>
  <si>
    <t xml:space="preserve">Información sobre el préstamo</t>
  </si>
  <si>
    <t>Resumen</t>
  </si>
  <si>
    <t xml:space="preserve">Importe del préstamo</t>
  </si>
  <si>
    <t xml:space="preserve">Pago programado</t>
  </si>
  <si>
    <t xml:space="preserve">Tipo de interés anual</t>
  </si>
  <si>
    <t xml:space="preserve">Cantidad prevista de pagos</t>
  </si>
  <si>
    <t xml:space="preserve">Plazo del préstamo en meses</t>
  </si>
  <si>
    <t xml:space="preserve">Interés total</t>
  </si>
  <si>
    <t xml:space="preserve">Fecha del primer pago</t>
  </si>
  <si>
    <t xml:space="preserve">Pago total</t>
  </si>
  <si>
    <t>Núm.</t>
  </si>
  <si>
    <t xml:space="preserve">Fecha límite</t>
  </si>
  <si>
    <t xml:space="preserve">Balance inicial</t>
  </si>
  <si>
    <t>Pago</t>
  </si>
  <si>
    <t xml:space="preserve">Balance final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</si>
</sst>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4" formatCode="[$$-9]#,##0.00"/>
    <numFmt numFmtId="165" formatCode="[$$-9]#,##0.00;[Red][$$-9]#,##0.00"/>
    <numFmt numFmtId="166" formatCode="dd/mm/yyyy;@"/>
    <numFmt numFmtId="167" formatCode="dd/mm/yyyy"/>
  </numFmts>
  <fonts count="4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5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165" xfId="0" applyNumberFormat="1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66" xfId="0" applyNumberFormat="1" applyFont="1" applyBorder="1"/>
    <xf fontId="1" fillId="0" borderId="1" numFmtId="1" xfId="0" applyNumberFormat="1" applyFont="1" applyBorder="1" applyAlignment="1">
      <alignment horizontal="center"/>
    </xf>
    <xf fontId="1" fillId="0" borderId="1" numFmtId="167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0" borderId="1" numFmtId="165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7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2" borderId="1" numFmtId="165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31.2812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5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6">
        <v>1</v>
      </c>
      <c r="B10" s="17">
        <f ca="1">TODAY()</f>
        <v>45559</v>
      </c>
      <c r="C10" s="18">
        <f>E7</f>
        <v>105000</v>
      </c>
      <c r="D10" s="19">
        <f>E4</f>
        <v>8525.2264021710325</v>
      </c>
      <c r="E10" s="18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si="1">WORKDAY(B10,+21)</f>
        <v>45588</v>
      </c>
      <c r="C11" s="22">
        <f t="shared" ref="C11:C21" si="2">E10</f>
        <v>96474.773597828971</v>
      </c>
      <c r="D11" s="23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6">
        <v>3</v>
      </c>
      <c r="B12" s="17">
        <f t="shared" si="1"/>
        <v>45617</v>
      </c>
      <c r="C12" s="18">
        <f t="shared" si="2"/>
        <v>87949.547195657942</v>
      </c>
      <c r="D12" s="19">
        <f>E4</f>
        <v>8525.2264021710325</v>
      </c>
      <c r="E12" s="18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si="1"/>
        <v>45646</v>
      </c>
      <c r="C13" s="22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6">
        <v>5</v>
      </c>
      <c r="B14" s="17">
        <f t="shared" si="1"/>
        <v>45677</v>
      </c>
      <c r="C14" s="18">
        <f t="shared" si="2"/>
        <v>70899.094391315884</v>
      </c>
      <c r="D14" s="19">
        <f>E4</f>
        <v>8525.2264021710325</v>
      </c>
      <c r="E14" s="18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si="1"/>
        <v>45706</v>
      </c>
      <c r="C15" s="22">
        <f t="shared" si="2"/>
        <v>62373.867989144856</v>
      </c>
      <c r="D15" s="23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6">
        <v>7</v>
      </c>
      <c r="B16" s="17">
        <f t="shared" si="1"/>
        <v>45735</v>
      </c>
      <c r="C16" s="18">
        <f t="shared" si="2"/>
        <v>53848.641586973827</v>
      </c>
      <c r="D16" s="19">
        <f>E4</f>
        <v>8525.2264021710325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si="1"/>
        <v>45764</v>
      </c>
      <c r="C17" s="22">
        <f t="shared" si="2"/>
        <v>45323.415184802798</v>
      </c>
      <c r="D17" s="23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6">
        <v>9</v>
      </c>
      <c r="B18" s="17">
        <f t="shared" si="1"/>
        <v>45793</v>
      </c>
      <c r="C18" s="18">
        <f t="shared" si="2"/>
        <v>36798.188782631769</v>
      </c>
      <c r="D18" s="19">
        <f>E4</f>
        <v>8525.2264021710325</v>
      </c>
      <c r="E18" s="18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si="1"/>
        <v>45824</v>
      </c>
      <c r="C19" s="22">
        <f t="shared" si="2"/>
        <v>28272.962380460736</v>
      </c>
      <c r="D19" s="23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6">
        <v>11</v>
      </c>
      <c r="B20" s="17">
        <f t="shared" si="1"/>
        <v>45853</v>
      </c>
      <c r="C20" s="18">
        <f t="shared" si="2"/>
        <v>19747.735978289704</v>
      </c>
      <c r="D20" s="19">
        <f>E4</f>
        <v>8525.2264021710325</v>
      </c>
      <c r="E20" s="18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si="1"/>
        <v>45882</v>
      </c>
      <c r="C21" s="22">
        <f t="shared" si="2"/>
        <v>11222.509576118671</v>
      </c>
      <c r="D21" s="23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6</cp:revision>
  <dcterms:modified xsi:type="dcterms:W3CDTF">2024-09-24T12:36:17Z</dcterms:modified>
</cp:coreProperties>
</file>