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償却スケジュール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<sst xmlns="http://schemas.openxmlformats.org/spreadsheetml/2006/main" count="15" uniqueCount="15">
  <si>
    <t>償却スケジュールテンプレート</t>
  </si>
  <si>
    <t>ローン情報</t>
  </si>
  <si>
    <t>概要</t>
  </si>
  <si>
    <t>借入額</t>
  </si>
  <si>
    <t>支払予定額</t>
  </si>
  <si>
    <t>年利率</t>
  </si>
  <si>
    <t>借入期間（月</t>
  </si>
  <si>
    <t>利息総額</t>
  </si>
  <si>
    <t>初回支払日</t>
  </si>
  <si>
    <t>支払総額</t>
  </si>
  <si>
    <t>№</t>
  </si>
  <si>
    <t>締め切り</t>
  </si>
  <si>
    <t>期首残高</t>
  </si>
  <si>
    <t>支払い</t>
  </si>
  <si>
    <t>繰越残高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</si>
</sst>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[$¥-411]#,##0.00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2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23.7109375"/>
    <col customWidth="1" min="2" max="2" style="2" width="17.14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2">
        <v>5.0000000000000003e-002</v>
      </c>
      <c r="C5" s="4"/>
      <c r="D5" s="11" t="s">
        <v>4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6</v>
      </c>
      <c r="B6" s="9">
        <v>12</v>
      </c>
      <c r="C6" s="4"/>
      <c r="D6" s="11" t="s">
        <v>7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8</v>
      </c>
      <c r="B7" s="14">
        <f ca="1">TODAY()</f>
        <v>45559</v>
      </c>
      <c r="C7" s="4"/>
      <c r="D7" s="11" t="s">
        <v>9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10</v>
      </c>
      <c r="B9" s="8" t="s">
        <v>11</v>
      </c>
      <c r="C9" s="8" t="s">
        <v>12</v>
      </c>
      <c r="D9" s="8" t="s">
        <v>13</v>
      </c>
      <c r="E9" s="8" t="s">
        <v>14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5">
        <v>1</v>
      </c>
      <c r="B10" s="16">
        <f ca="1">TODAY()</f>
        <v>45559</v>
      </c>
      <c r="C10" s="17">
        <f>E7</f>
        <v>105000</v>
      </c>
      <c r="D10" s="17">
        <f>E4</f>
        <v>8525.2264021710325</v>
      </c>
      <c r="E10" s="17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18">
        <v>2</v>
      </c>
      <c r="B11" s="19">
        <f t="shared" ref="B11:B21" si="1">WORKDAY(B10,+21)</f>
        <v>45588</v>
      </c>
      <c r="C11" s="20">
        <f t="shared" ref="C11:C21" si="2">E10</f>
        <v>96474.773597828971</v>
      </c>
      <c r="D11" s="20">
        <f>E4</f>
        <v>8525.2264021710325</v>
      </c>
      <c r="E11" s="20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5">
        <v>3</v>
      </c>
      <c r="B12" s="16">
        <f t="shared" si="1"/>
        <v>45617</v>
      </c>
      <c r="C12" s="17">
        <f t="shared" si="2"/>
        <v>87949.547195657942</v>
      </c>
      <c r="D12" s="17">
        <f>E4</f>
        <v>8525.2264021710325</v>
      </c>
      <c r="E12" s="17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18">
        <v>4</v>
      </c>
      <c r="B13" s="19">
        <f t="shared" si="1"/>
        <v>45646</v>
      </c>
      <c r="C13" s="20">
        <f t="shared" si="2"/>
        <v>79424.320793486913</v>
      </c>
      <c r="D13" s="20">
        <f>E4</f>
        <v>8525.2264021710325</v>
      </c>
      <c r="E13" s="20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5">
        <v>5</v>
      </c>
      <c r="B14" s="16">
        <f t="shared" si="1"/>
        <v>45677</v>
      </c>
      <c r="C14" s="17">
        <f t="shared" si="2"/>
        <v>70899.094391315884</v>
      </c>
      <c r="D14" s="17">
        <f>E4</f>
        <v>8525.2264021710325</v>
      </c>
      <c r="E14" s="17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18">
        <v>6</v>
      </c>
      <c r="B15" s="19">
        <f t="shared" si="1"/>
        <v>45706</v>
      </c>
      <c r="C15" s="20">
        <f t="shared" si="2"/>
        <v>62373.867989144856</v>
      </c>
      <c r="D15" s="20">
        <f>E4</f>
        <v>8525.2264021710325</v>
      </c>
      <c r="E15" s="20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5">
        <v>7</v>
      </c>
      <c r="B16" s="16">
        <f t="shared" si="1"/>
        <v>45735</v>
      </c>
      <c r="C16" s="17">
        <f t="shared" si="2"/>
        <v>53848.641586973827</v>
      </c>
      <c r="D16" s="17">
        <f>E4</f>
        <v>8525.2264021710325</v>
      </c>
      <c r="E16" s="17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18">
        <v>8</v>
      </c>
      <c r="B17" s="19">
        <f t="shared" si="1"/>
        <v>45764</v>
      </c>
      <c r="C17" s="20">
        <f t="shared" si="2"/>
        <v>45323.415184802798</v>
      </c>
      <c r="D17" s="20">
        <f>E4</f>
        <v>8525.2264021710325</v>
      </c>
      <c r="E17" s="20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5">
        <v>9</v>
      </c>
      <c r="B18" s="16">
        <f t="shared" si="1"/>
        <v>45793</v>
      </c>
      <c r="C18" s="17">
        <f t="shared" si="2"/>
        <v>36798.188782631769</v>
      </c>
      <c r="D18" s="17">
        <f>E4</f>
        <v>8525.2264021710325</v>
      </c>
      <c r="E18" s="17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18">
        <v>10</v>
      </c>
      <c r="B19" s="19">
        <f t="shared" si="1"/>
        <v>45824</v>
      </c>
      <c r="C19" s="20">
        <f t="shared" si="2"/>
        <v>28272.962380460736</v>
      </c>
      <c r="D19" s="20">
        <f>E4</f>
        <v>8525.2264021710325</v>
      </c>
      <c r="E19" s="20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5">
        <v>11</v>
      </c>
      <c r="B20" s="16">
        <f t="shared" si="1"/>
        <v>45853</v>
      </c>
      <c r="C20" s="17">
        <f t="shared" si="2"/>
        <v>19747.735978289704</v>
      </c>
      <c r="D20" s="17">
        <f>E4</f>
        <v>8525.2264021710325</v>
      </c>
      <c r="E20" s="17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18">
        <v>12</v>
      </c>
      <c r="B21" s="19">
        <f t="shared" si="1"/>
        <v>45882</v>
      </c>
      <c r="C21" s="20">
        <f t="shared" si="2"/>
        <v>11222.509576118671</v>
      </c>
      <c r="D21" s="20">
        <f>E4</f>
        <v>8525.2264021710325</v>
      </c>
      <c r="E21" s="20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1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1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2024-09-24T13:21:33Z</dcterms:modified>
  <dc:creator/>
  <dc:lastModifiedBy/>
</cp:coreProperties>
</file>